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
    </mc:Choice>
  </mc:AlternateContent>
  <xr:revisionPtr revIDLastSave="0" documentId="13_ncr:1_{24ACB23C-0BA8-4D8F-B03F-B7411C9AD1BB}"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F7" i="1"/>
  <c r="F9" i="1"/>
  <c r="F10" i="1"/>
  <c r="F11" i="1"/>
  <c r="F12" i="1"/>
  <c r="F13" i="1"/>
  <c r="F14" i="1"/>
  <c r="F6" i="1"/>
  <c r="D7" i="1"/>
  <c r="D8" i="1"/>
  <c r="D9" i="1"/>
  <c r="D10" i="1"/>
  <c r="D11" i="1"/>
  <c r="D12" i="1"/>
  <c r="D13" i="1"/>
  <c r="D14" i="1"/>
  <c r="D6" i="1"/>
  <c r="G6" i="1"/>
  <c r="G7" i="1"/>
  <c r="G8" i="1"/>
  <c r="G9" i="1"/>
  <c r="G10" i="1"/>
  <c r="G11" i="1"/>
  <c r="G12" i="1"/>
  <c r="G13" i="1"/>
  <c r="G14" i="1"/>
  <c r="G5" i="1"/>
</calcChain>
</file>

<file path=xl/sharedStrings.xml><?xml version="1.0" encoding="utf-8"?>
<sst xmlns="http://schemas.openxmlformats.org/spreadsheetml/2006/main" count="19" uniqueCount="18">
  <si>
    <t>Item</t>
  </si>
  <si>
    <t>Year 1 (N-1)</t>
  </si>
  <si>
    <t>Year 2 (N)</t>
  </si>
  <si>
    <t>Revenue (Chiffre d’affaires)</t>
  </si>
  <si>
    <t>Cost of Goods Sold (COGS)</t>
  </si>
  <si>
    <t>Gross Profit (Marge brute)</t>
  </si>
  <si>
    <t>Personnel Expenses</t>
  </si>
  <si>
    <t>Other Operating Expenses</t>
  </si>
  <si>
    <t>EBITDA (EBE)</t>
  </si>
  <si>
    <t>Depreciation (Dotations aux Amortissements)</t>
  </si>
  <si>
    <t>Operating Income (Résultat d'Exploitation)</t>
  </si>
  <si>
    <t>Interest Expense (Charges d'intérêts)</t>
  </si>
  <si>
    <t>Net Income (Résultat Net)</t>
  </si>
  <si>
    <t>COMPANY INFORMATION</t>
  </si>
  <si>
    <t>Rate N-1</t>
  </si>
  <si>
    <t xml:space="preserve"> </t>
  </si>
  <si>
    <t>Abs. Variation</t>
  </si>
  <si>
    <t>PROJECT 02 : PROFITABILITY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</si>
</sst>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2"/>
      <color theme="8" tint="-0.499984740745262"/>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3" borderId="1" xfId="0" applyFont="1" applyFill="1" applyBorder="1"/>
    <xf numFmtId="0" fontId="1" fillId="3" borderId="1" xfId="0" applyFont="1" applyFill="1" applyBorder="1" applyAlignment="1">
      <alignment horizontal="center"/>
    </xf>
    <xf numFmtId="0" fontId="0" fillId="5" borderId="1" xfId="0" applyFill="1" applyBorder="1"/>
    <xf numFmtId="41" fontId="0" fillId="5" borderId="1" xfId="0" applyNumberFormat="1" applyFill="1" applyBorder="1" applyAlignment="1">
      <alignment horizontal="center"/>
    </xf>
    <xf numFmtId="9" fontId="2" fillId="5" borderId="1" xfId="1" applyFont="1" applyFill="1" applyBorder="1" applyAlignment="1">
      <alignment horizontal="center"/>
    </xf>
    <xf numFmtId="0" fontId="0" fillId="4" borderId="1" xfId="0" applyFill="1" applyBorder="1"/>
    <xf numFmtId="41" fontId="0" fillId="4" borderId="1" xfId="0" applyNumberFormat="1" applyFill="1" applyBorder="1" applyAlignment="1">
      <alignment horizontal="center"/>
    </xf>
    <xf numFmtId="9" fontId="2" fillId="4" borderId="1" xfId="1" applyFont="1" applyFill="1" applyBorder="1" applyAlignment="1">
      <alignment horizontal="center"/>
    </xf>
    <xf numFmtId="9" fontId="0" fillId="0" borderId="0" xfId="0" applyNumberFormat="1"/>
    <xf numFmtId="0" fontId="3" fillId="0" borderId="0" xfId="0" applyFont="1"/>
    <xf numFmtId="0" fontId="1" fillId="2" borderId="2" xfId="0" applyFont="1" applyFill="1" applyBorder="1" applyAlignment="1">
      <alignment horizontal="center"/>
    </xf>
    <xf numFmtId="0" fontId="1" fillId="2" borderId="3" xfId="0"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117230</xdr:colOff>
      <xdr:row>2</xdr:row>
      <xdr:rowOff>7328</xdr:rowOff>
    </xdr:from>
    <xdr:to>
      <xdr:col>16</xdr:col>
      <xdr:colOff>402980</xdr:colOff>
      <xdr:row>38</xdr:row>
      <xdr:rowOff>7327</xdr:rowOff>
    </xdr:to>
    <xdr:sp macro="" textlink="">
      <xdr:nvSpPr>
        <xdr:cNvPr id="2" name="TextBox 1">
          <a:extLst>
            <a:ext uri="{FF2B5EF4-FFF2-40B4-BE49-F238E27FC236}">
              <a16:creationId xmlns:a16="http://schemas.microsoft.com/office/drawing/2014/main" id="{5BA79324-4BA2-FF69-7E12-FDD1CD6B9CEA}"/>
            </a:ext>
          </a:extLst>
        </xdr:cNvPr>
        <xdr:cNvSpPr txBox="1"/>
      </xdr:nvSpPr>
      <xdr:spPr>
        <a:xfrm>
          <a:off x="6806711" y="395655"/>
          <a:ext cx="5758961" cy="685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fr-FR" sz="1100" b="1"/>
            <a:t>Task 7</a:t>
          </a:r>
          <a:r>
            <a:rPr lang="fr-FR" sz="1100"/>
            <a:t> : From</a:t>
          </a:r>
          <a:r>
            <a:rPr lang="fr-FR" sz="1100" baseline="0"/>
            <a:t> Year 1 to year 2, the COGS grew from </a:t>
          </a:r>
          <a:r>
            <a:rPr lang="fr-FR" sz="1100" b="1" baseline="0"/>
            <a:t>42% </a:t>
          </a:r>
          <a:r>
            <a:rPr lang="fr-FR" sz="1100" baseline="0"/>
            <a:t>while the revenue grew from </a:t>
          </a:r>
          <a:r>
            <a:rPr lang="fr-FR" sz="1100" b="1" baseline="0"/>
            <a:t>29%</a:t>
          </a:r>
          <a:r>
            <a:rPr lang="fr-FR" sz="1100" baseline="0"/>
            <a:t>. In other words, the company is facing to a raw materials increase, or is failing to pass price increases to customers. </a:t>
          </a:r>
        </a:p>
        <a:p>
          <a:pPr algn="just"/>
          <a:endParaRPr lang="fr-FR" sz="1100" baseline="0"/>
        </a:p>
        <a:p>
          <a:pPr algn="just"/>
          <a:r>
            <a:rPr lang="fr-FR" sz="1100" b="1" baseline="0"/>
            <a:t>Task 8 :</a:t>
          </a:r>
          <a:r>
            <a:rPr lang="fr-FR" sz="1100" baseline="0"/>
            <a:t> The personnel expenses grew from </a:t>
          </a:r>
          <a:r>
            <a:rPr lang="fr-FR" sz="1100" b="1" baseline="0"/>
            <a:t>40%</a:t>
          </a:r>
          <a:r>
            <a:rPr lang="fr-FR" sz="1100" baseline="0"/>
            <a:t> while the revenue grew from </a:t>
          </a:r>
          <a:r>
            <a:rPr lang="fr-FR" sz="1100" b="1" baseline="0"/>
            <a:t>29%</a:t>
          </a:r>
          <a:r>
            <a:rPr lang="fr-FR" sz="1100" baseline="0"/>
            <a:t>. That mean the company is hiring more people than it is generating sales.</a:t>
          </a:r>
        </a:p>
        <a:p>
          <a:pPr algn="just"/>
          <a:endParaRPr lang="fr-FR" sz="1100" baseline="0"/>
        </a:p>
        <a:p>
          <a:pPr algn="just"/>
          <a:r>
            <a:rPr lang="fr-FR" sz="1100" b="1" baseline="0"/>
            <a:t>Task 9 : </a:t>
          </a:r>
          <a:r>
            <a:rPr lang="fr-FR" sz="1100" b="0" baseline="0"/>
            <a:t>With this decrease of </a:t>
          </a:r>
          <a:r>
            <a:rPr lang="fr-FR" sz="1100" b="1" baseline="0"/>
            <a:t>36%</a:t>
          </a:r>
          <a:r>
            <a:rPr lang="fr-FR" sz="1100" b="0" baseline="0"/>
            <a:t> of the net profit despite an increase of the revenue of </a:t>
          </a:r>
          <a:r>
            <a:rPr lang="fr-FR" sz="1100" b="1" baseline="0"/>
            <a:t>29%</a:t>
          </a:r>
          <a:r>
            <a:rPr lang="fr-FR" sz="1100" b="0" baseline="0"/>
            <a:t> the two biggest leakages concern the COGS and the personnel expenses which grew respectively from </a:t>
          </a:r>
          <a:r>
            <a:rPr lang="fr-FR" sz="1100" b="1" baseline="0"/>
            <a:t>42%</a:t>
          </a:r>
          <a:r>
            <a:rPr lang="fr-FR" sz="1100" b="0" baseline="0"/>
            <a:t> and </a:t>
          </a:r>
          <a:r>
            <a:rPr lang="fr-FR" sz="1100" b="1" baseline="0"/>
            <a:t>40%</a:t>
          </a:r>
          <a:r>
            <a:rPr lang="fr-FR" sz="1100" b="0" baseline="0"/>
            <a:t>.</a:t>
          </a:r>
        </a:p>
        <a:p>
          <a:pPr algn="just"/>
          <a:endParaRPr lang="fr-FR" sz="1100" b="0" baseline="0"/>
        </a:p>
        <a:p>
          <a:pPr algn="just"/>
          <a:r>
            <a:rPr lang="fr-FR" sz="1100" b="1" baseline="0"/>
            <a:t>Task 10 : </a:t>
          </a:r>
          <a:r>
            <a:rPr lang="fr-FR" sz="1100" b="0" baseline="0"/>
            <a:t>The interest expense grew from </a:t>
          </a:r>
          <a:r>
            <a:rPr lang="fr-FR" sz="1100" b="1" baseline="0"/>
            <a:t>133%</a:t>
          </a:r>
          <a:r>
            <a:rPr lang="fr-FR" sz="1100" b="0" baseline="0"/>
            <a:t>, which is more than doubled. It probably due to the fact that the company took out massive loan (pershap to buy assets that caused the </a:t>
          </a:r>
          <a:r>
            <a:rPr lang="fr-FR" sz="1100" b="1" baseline="0"/>
            <a:t>29%</a:t>
          </a:r>
          <a:r>
            <a:rPr lang="fr-FR" sz="1100" b="0" baseline="0"/>
            <a:t> revenue jump) or his bank account is overdrawn.</a:t>
          </a:r>
          <a:endParaRPr lang="fr-FR" sz="1100" b="1" baseline="0"/>
        </a:p>
        <a:p>
          <a:pPr algn="just"/>
          <a:endParaRPr lang="fr-FR" sz="1100" b="1" baseline="0"/>
        </a:p>
        <a:p>
          <a:pPr algn="just"/>
          <a:r>
            <a:rPr lang="fr-FR" sz="1100" b="1" baseline="0"/>
            <a:t>Task 11 : </a:t>
          </a:r>
          <a:r>
            <a:rPr lang="fr-FR" sz="1100" b="0" baseline="0"/>
            <a:t>Regarding to the EBITA, we can clearly say that the increase of sales cost more to the company than it generate profit.</a:t>
          </a:r>
        </a:p>
        <a:p>
          <a:pPr algn="just"/>
          <a:endParaRPr lang="fr-FR" sz="1100" b="0" baseline="0"/>
        </a:p>
        <a:p>
          <a:pPr algn="just"/>
          <a:r>
            <a:rPr lang="fr-FR" sz="1100" b="1" baseline="0"/>
            <a:t>Task 12 : </a:t>
          </a:r>
          <a:r>
            <a:rPr lang="fr-FR"/>
            <a:t>In a scalable business, profit should grow </a:t>
          </a:r>
          <a:r>
            <a:rPr lang="fr-FR" i="1"/>
            <a:t>faster</a:t>
          </a:r>
          <a:r>
            <a:rPr lang="fr-FR"/>
            <a:t> than revenue. Here, we have the opposite: Revenue grew by </a:t>
          </a:r>
          <a:r>
            <a:rPr lang="fr-FR" b="1"/>
            <a:t>29%</a:t>
          </a:r>
          <a:r>
            <a:rPr lang="fr-FR" b="0"/>
            <a:t>, but EBITDA decreased by </a:t>
          </a:r>
          <a:r>
            <a:rPr lang="fr-FR" b="1"/>
            <a:t>13%</a:t>
          </a:r>
          <a:r>
            <a:rPr lang="fr-FR" b="0"/>
            <a:t>. This </a:t>
          </a:r>
          <a:r>
            <a:rPr lang="fr-FR"/>
            <a:t>is a dangerous sign called "Diseconomies of Scale." It means every new client the company takes on is actually costing more to serve than the previous ones, likely due to operational inefficiencies or poor pricing.</a:t>
          </a:r>
        </a:p>
        <a:p>
          <a:pPr algn="just"/>
          <a:endParaRPr lang="fr-FR" sz="1100" b="1" baseline="0"/>
        </a:p>
        <a:p>
          <a:pPr algn="just"/>
          <a:r>
            <a:rPr lang="fr-FR" sz="1100" b="1" baseline="0"/>
            <a:t>Task 13 : </a:t>
          </a:r>
          <a:r>
            <a:rPr lang="fr-FR"/>
            <a:t>Depreciation is </a:t>
          </a:r>
          <a:r>
            <a:rPr lang="fr-FR" b="1"/>
            <a:t>45,000</a:t>
          </a:r>
          <a:r>
            <a:rPr lang="fr-FR"/>
            <a:t>, which represents </a:t>
          </a:r>
          <a:r>
            <a:rPr lang="fr-FR" b="1"/>
            <a:t>36% of the Operating Income</a:t>
          </a:r>
          <a:r>
            <a:rPr lang="fr-FR"/>
            <a:t> (45/125). In "Asset Light" companies (like a consulting firm or software startup), depreciation is negligible. For Sahel Logistics, the heavy depreciation suggests they own a fleet of vehicles or warehouses that require constant, expensive reinvestment. This is a high-risk model because those fixed costs stay high even if sales drop.</a:t>
          </a:r>
          <a:endParaRPr lang="fr-FR" sz="1100" b="1" baseline="0"/>
        </a:p>
        <a:p>
          <a:pPr algn="just"/>
          <a:endParaRPr lang="fr-FR" sz="1100" b="1" baseline="0"/>
        </a:p>
        <a:p>
          <a:pPr algn="just"/>
          <a:r>
            <a:rPr lang="fr-FR" sz="1100" b="1" baseline="0"/>
            <a:t>Task 14 : </a:t>
          </a:r>
          <a:r>
            <a:rPr lang="fr-FR"/>
            <a:t>If the Net Profit Margin is </a:t>
          </a:r>
          <a:r>
            <a:rPr lang="fr-FR" b="1"/>
            <a:t>8.1%</a:t>
          </a:r>
          <a:r>
            <a:rPr lang="fr-FR"/>
            <a:t> but inflation is </a:t>
          </a:r>
          <a:r>
            <a:rPr lang="fr-FR" b="1"/>
            <a:t>12%</a:t>
          </a:r>
          <a:r>
            <a:rPr lang="fr-FR"/>
            <a:t>, the "real" return is negative. Essentially, the money the company earns is losing value faster than the company can generate it. If the shareholders put their money in an investment that simply tracked inflation, they would be better off than running this business.</a:t>
          </a:r>
        </a:p>
        <a:p>
          <a:pPr algn="just"/>
          <a:endParaRPr lang="fr-FR" sz="1100" b="1"/>
        </a:p>
        <a:p>
          <a:r>
            <a:rPr lang="fr-FR" sz="1100" b="1"/>
            <a:t>Task 15</a:t>
          </a:r>
          <a:r>
            <a:rPr lang="fr-FR" sz="1100" b="1" baseline="0"/>
            <a:t> :</a:t>
          </a:r>
          <a:r>
            <a:rPr lang="fr-FR" sz="1100" b="0" baseline="0"/>
            <a:t> </a:t>
          </a:r>
          <a:r>
            <a:rPr lang="fr-FR"/>
            <a:t>The company cannot "grow" your way out of this problem. The CEO needs to:</a:t>
          </a:r>
        </a:p>
        <a:p>
          <a:r>
            <a:rPr lang="fr-FR" b="1"/>
            <a:t>- Analyze COGS:</a:t>
          </a:r>
          <a:r>
            <a:rPr lang="fr-FR"/>
            <a:t> Why did it jump from 50% to 55% of revenue? They need to renegotiate supplier contracts or increase their selling prices immediately.</a:t>
          </a:r>
        </a:p>
        <a:p>
          <a:r>
            <a:rPr lang="fr-FR" b="1"/>
            <a:t>- Audit Personnel:</a:t>
          </a:r>
          <a:r>
            <a:rPr lang="fr-FR"/>
            <a:t> Costs grew 40% while sales grew 29%. They need to stop hiring and improve the productivity of the current staff.</a:t>
          </a:r>
        </a:p>
        <a:p>
          <a:pPr algn="just"/>
          <a:endParaRPr lang="fr-FR"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6"/>
  <sheetViews>
    <sheetView showGridLines="0" tabSelected="1" zoomScale="130" zoomScaleNormal="130" workbookViewId="0">
      <selection activeCell="B2" sqref="B2"/>
    </sheetView>
  </sheetViews>
  <sheetFormatPr defaultRowHeight="15" x14ac:dyDescent="0.25"/>
  <cols>
    <col min="1" max="1" width="3.140625" customWidth="1"/>
    <col min="2" max="2" width="40.5703125" customWidth="1"/>
    <col min="3" max="3" width="12.28515625" customWidth="1"/>
    <col min="4" max="4" width="8.7109375" bestFit="1" customWidth="1"/>
    <col min="5" max="5" width="13.28515625" customWidth="1"/>
    <col min="6" max="6" width="8.7109375" bestFit="1" customWidth="1"/>
    <col min="7" max="7" width="13.5703125" bestFit="1" customWidth="1"/>
  </cols>
  <sheetData>
    <row r="1" spans="2:7" ht="15.75" x14ac:dyDescent="0.25">
      <c r="B1" s="10" t="s">
        <v>17</v>
      </c>
    </row>
    <row r="3" spans="2:7" x14ac:dyDescent="0.25">
      <c r="B3" s="11" t="s">
        <v>13</v>
      </c>
      <c r="C3" s="12"/>
      <c r="D3" s="12"/>
      <c r="E3" s="12"/>
      <c r="F3" s="12"/>
      <c r="G3" s="12"/>
    </row>
    <row r="4" spans="2:7" x14ac:dyDescent="0.25">
      <c r="B4" s="1" t="s">
        <v>0</v>
      </c>
      <c r="C4" s="2" t="s">
        <v>1</v>
      </c>
      <c r="D4" s="2" t="s">
        <v>14</v>
      </c>
      <c r="E4" s="2" t="s">
        <v>2</v>
      </c>
      <c r="F4" s="2" t="s">
        <v>14</v>
      </c>
      <c r="G4" s="2" t="s">
        <v>16</v>
      </c>
    </row>
    <row r="5" spans="2:7" x14ac:dyDescent="0.25">
      <c r="B5" s="6" t="s">
        <v>3</v>
      </c>
      <c r="C5" s="7">
        <v>850000</v>
      </c>
      <c r="D5" s="8">
        <v>1</v>
      </c>
      <c r="E5" s="7">
        <v>1100000</v>
      </c>
      <c r="F5" s="8">
        <v>1</v>
      </c>
      <c r="G5" s="8">
        <f>(ABS(E5)-ABS(C5))/ABS(C5)</f>
        <v>0.29411764705882354</v>
      </c>
    </row>
    <row r="6" spans="2:7" x14ac:dyDescent="0.25">
      <c r="B6" s="3" t="s">
        <v>4</v>
      </c>
      <c r="C6" s="4">
        <v>-425000</v>
      </c>
      <c r="D6" s="5">
        <f>ABS(C6/$C$5)</f>
        <v>0.5</v>
      </c>
      <c r="E6" s="4">
        <v>-605000</v>
      </c>
      <c r="F6" s="5">
        <f>ABS(E6/$E$5)</f>
        <v>0.55000000000000004</v>
      </c>
      <c r="G6" s="5">
        <f t="shared" ref="G6:G14" si="0">(ABS(E6)-ABS(C6))/ABS(C6)</f>
        <v>0.42352941176470588</v>
      </c>
    </row>
    <row r="7" spans="2:7" x14ac:dyDescent="0.25">
      <c r="B7" s="6" t="s">
        <v>5</v>
      </c>
      <c r="C7" s="7">
        <v>425000</v>
      </c>
      <c r="D7" s="8">
        <f t="shared" ref="D7:D14" si="1">ABS(C7/$C$5)</f>
        <v>0.5</v>
      </c>
      <c r="E7" s="7">
        <v>495000</v>
      </c>
      <c r="F7" s="8">
        <f t="shared" ref="F7:F14" si="2">ABS(E7/$E$5)</f>
        <v>0.45</v>
      </c>
      <c r="G7" s="8">
        <f t="shared" si="0"/>
        <v>0.16470588235294117</v>
      </c>
    </row>
    <row r="8" spans="2:7" x14ac:dyDescent="0.25">
      <c r="B8" s="3" t="s">
        <v>6</v>
      </c>
      <c r="C8" s="4">
        <v>-150000</v>
      </c>
      <c r="D8" s="5">
        <f t="shared" si="1"/>
        <v>0.17647058823529413</v>
      </c>
      <c r="E8" s="4">
        <v>-210000</v>
      </c>
      <c r="F8" s="5">
        <f>ABS(E8/$E$5)</f>
        <v>0.19090909090909092</v>
      </c>
      <c r="G8" s="5">
        <f t="shared" si="0"/>
        <v>0.4</v>
      </c>
    </row>
    <row r="9" spans="2:7" x14ac:dyDescent="0.25">
      <c r="B9" s="3" t="s">
        <v>7</v>
      </c>
      <c r="C9" s="4">
        <v>-80000</v>
      </c>
      <c r="D9" s="5">
        <f t="shared" si="1"/>
        <v>9.4117647058823528E-2</v>
      </c>
      <c r="E9" s="4">
        <v>-115000</v>
      </c>
      <c r="F9" s="5">
        <f t="shared" si="2"/>
        <v>0.10454545454545454</v>
      </c>
      <c r="G9" s="5">
        <f t="shared" si="0"/>
        <v>0.4375</v>
      </c>
    </row>
    <row r="10" spans="2:7" x14ac:dyDescent="0.25">
      <c r="B10" s="6" t="s">
        <v>8</v>
      </c>
      <c r="C10" s="7">
        <v>195000</v>
      </c>
      <c r="D10" s="8">
        <f t="shared" si="1"/>
        <v>0.22941176470588234</v>
      </c>
      <c r="E10" s="7">
        <v>170000</v>
      </c>
      <c r="F10" s="8">
        <f t="shared" si="2"/>
        <v>0.15454545454545454</v>
      </c>
      <c r="G10" s="8">
        <f t="shared" si="0"/>
        <v>-0.12820512820512819</v>
      </c>
    </row>
    <row r="11" spans="2:7" x14ac:dyDescent="0.25">
      <c r="B11" s="3" t="s">
        <v>9</v>
      </c>
      <c r="C11" s="4">
        <v>-40000</v>
      </c>
      <c r="D11" s="5">
        <f t="shared" si="1"/>
        <v>4.7058823529411764E-2</v>
      </c>
      <c r="E11" s="4">
        <v>-45000</v>
      </c>
      <c r="F11" s="5">
        <f t="shared" si="2"/>
        <v>4.0909090909090909E-2</v>
      </c>
      <c r="G11" s="5">
        <f t="shared" si="0"/>
        <v>0.125</v>
      </c>
    </row>
    <row r="12" spans="2:7" x14ac:dyDescent="0.25">
      <c r="B12" s="6" t="s">
        <v>10</v>
      </c>
      <c r="C12" s="7">
        <v>155000</v>
      </c>
      <c r="D12" s="8">
        <f t="shared" si="1"/>
        <v>0.18235294117647058</v>
      </c>
      <c r="E12" s="7">
        <v>125000</v>
      </c>
      <c r="F12" s="8">
        <f t="shared" si="2"/>
        <v>0.11363636363636363</v>
      </c>
      <c r="G12" s="8">
        <f t="shared" si="0"/>
        <v>-0.19354838709677419</v>
      </c>
    </row>
    <row r="13" spans="2:7" x14ac:dyDescent="0.25">
      <c r="B13" s="3" t="s">
        <v>11</v>
      </c>
      <c r="C13" s="4">
        <v>-15000</v>
      </c>
      <c r="D13" s="5">
        <f t="shared" si="1"/>
        <v>1.7647058823529412E-2</v>
      </c>
      <c r="E13" s="4">
        <v>-35000</v>
      </c>
      <c r="F13" s="5">
        <f t="shared" si="2"/>
        <v>3.1818181818181815E-2</v>
      </c>
      <c r="G13" s="5">
        <f t="shared" si="0"/>
        <v>1.3333333333333333</v>
      </c>
    </row>
    <row r="14" spans="2:7" x14ac:dyDescent="0.25">
      <c r="B14" s="6" t="s">
        <v>12</v>
      </c>
      <c r="C14" s="7">
        <v>140000</v>
      </c>
      <c r="D14" s="8">
        <f t="shared" si="1"/>
        <v>0.16470588235294117</v>
      </c>
      <c r="E14" s="7">
        <v>90000</v>
      </c>
      <c r="F14" s="8">
        <f t="shared" si="2"/>
        <v>8.1818181818181818E-2</v>
      </c>
      <c r="G14" s="8">
        <f t="shared" si="0"/>
        <v>-0.35714285714285715</v>
      </c>
    </row>
    <row r="15" spans="2:7" x14ac:dyDescent="0.25">
      <c r="D15" s="9"/>
    </row>
    <row r="16" spans="2:7" x14ac:dyDescent="0.25">
      <c r="D16" t="s">
        <v>15</v>
      </c>
    </row>
  </sheetData>
  <mergeCells count="1">
    <mergeCell ref="B3:G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Jelani</dc:creator>
  <cp:lastModifiedBy>Michael Jelani</cp:lastModifiedBy>
  <cp:lastPrinted>2026-03-14T10:29:02Z</cp:lastPrinted>
  <dcterms:created xsi:type="dcterms:W3CDTF">2015-06-05T18:17:20Z</dcterms:created>
  <dcterms:modified xsi:type="dcterms:W3CDTF">2026-03-17T07:37:49Z</dcterms:modified>
</cp:coreProperties>
</file>